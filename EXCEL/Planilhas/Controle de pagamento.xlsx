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cabate\Desktop\"/>
    </mc:Choice>
  </mc:AlternateContent>
  <xr:revisionPtr revIDLastSave="0" documentId="8_{3F161049-5BB8-4E1D-A5D3-C8905E63FD2C}" xr6:coauthVersionLast="47" xr6:coauthVersionMax="47" xr10:uidLastSave="{00000000-0000-0000-0000-000000000000}"/>
  <bookViews>
    <workbookView xWindow="-120" yWindow="-120" windowWidth="27120" windowHeight="15720" xr2:uid="{4B1DC96B-DCCA-457E-AC54-1BBED5851A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</calcChain>
</file>

<file path=xl/sharedStrings.xml><?xml version="1.0" encoding="utf-8"?>
<sst xmlns="http://schemas.openxmlformats.org/spreadsheetml/2006/main" count="17" uniqueCount="17">
  <si>
    <t>Vencimento</t>
  </si>
  <si>
    <t>Conta</t>
  </si>
  <si>
    <t>Valor</t>
  </si>
  <si>
    <t>Sataus</t>
  </si>
  <si>
    <t>Pago</t>
  </si>
  <si>
    <t>A Pagar:</t>
  </si>
  <si>
    <t>Água</t>
  </si>
  <si>
    <t>Luz</t>
  </si>
  <si>
    <t>Internet</t>
  </si>
  <si>
    <t>Aluguel</t>
  </si>
  <si>
    <t>Cartão de crédito</t>
  </si>
  <si>
    <t>Mercado</t>
  </si>
  <si>
    <t>Lazer</t>
  </si>
  <si>
    <t>Investimento</t>
  </si>
  <si>
    <t>Controle de Pagamento</t>
  </si>
  <si>
    <t>Ao digitar pago no status</t>
  </si>
  <si>
    <t>Mostra valor pago e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</si>
</sst>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16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3" xfId="0" applyNumberFormat="1" applyBorder="1"/>
    <xf numFmtId="0" fontId="0" fillId="0" borderId="2" xfId="0" applyBorder="1"/>
    <xf numFmtId="14" fontId="0" fillId="0" borderId="5" xfId="0" applyNumberFormat="1" applyBorder="1"/>
    <xf numFmtId="0" fontId="0" fillId="0" borderId="9" xfId="0" applyBorder="1"/>
    <xf numFmtId="164" fontId="0" fillId="0" borderId="9" xfId="0" applyNumberFormat="1" applyBorder="1"/>
    <xf numFmtId="0" fontId="0" fillId="0" borderId="4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1C1C1C"/>
      <color rgb="FFFF7C8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6CBF7-3157-414B-AA54-2FFEF3039BF6}" name="Tabela2" displayName="Tabela2" ref="B4:E12" headerRowDxfId="1" totalsRowDxfId="0" headerRowBorderDxfId="6" tableBorderDxfId="7">
  <autoFilter ref="B4:E12" xr:uid="{6C06CBF7-3157-414B-AA54-2FFEF3039BF6}"/>
  <sortState xmlns:xlrd2="http://schemas.microsoft.com/office/spreadsheetml/2017/richdata2" ref="B5:E12">
    <sortCondition ref="D5:D12"/>
  </sortState>
  <tableColumns count="4">
    <tableColumn id="1" xr3:uid="{E0A2A9E4-65AD-4D9C-BBDD-03F52A9BC736}" name="Vencimento" totalsRowLabel="Total" dataDxfId="5"/>
    <tableColumn id="2" xr3:uid="{29202B98-6C57-44B1-A669-9CCAECA70AB2}" name="Conta" dataDxfId="4"/>
    <tableColumn id="3" xr3:uid="{A04BDFEF-9E4A-4D20-9EFA-B4137C8995BA}" name="Valor" dataDxfId="3"/>
    <tableColumn id="4" xr3:uid="{0BEFDD7A-722E-4B0D-8795-ACDA8D917FC8}" name="Sataus" totalsRowFunction="custom" dataDxfId="2">
      <totalsRowFormula>SUM(Tabela2[Valor])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0749-7741-45E8-8872-989BC93B26DB}">
  <dimension ref="B1:I15"/>
  <sheetViews>
    <sheetView tabSelected="1" workbookViewId="0">
      <selection activeCell="H22" sqref="H22"/>
    </sheetView>
  </sheetViews>
  <sheetFormatPr defaultColWidth="14" defaultRowHeight="15" x14ac:dyDescent="0.25"/>
  <cols>
    <col min="1" max="1" width="3.28515625" customWidth="1"/>
    <col min="6" max="6" width="2" customWidth="1"/>
  </cols>
  <sheetData>
    <row r="1" spans="2:9" ht="15.75" thickBot="1" x14ac:dyDescent="0.3"/>
    <row r="2" spans="2:9" ht="36.75" thickBot="1" x14ac:dyDescent="0.6">
      <c r="B2" s="19" t="s">
        <v>14</v>
      </c>
      <c r="C2" s="20"/>
      <c r="D2" s="20"/>
      <c r="E2" s="21"/>
    </row>
    <row r="3" spans="2:9" ht="15.75" thickBot="1" x14ac:dyDescent="0.3">
      <c r="B3" s="16"/>
      <c r="C3" s="17"/>
      <c r="D3" s="17"/>
      <c r="E3" s="18"/>
    </row>
    <row r="4" spans="2:9" ht="15.75" thickBot="1" x14ac:dyDescent="0.3">
      <c r="B4" s="7" t="s">
        <v>0</v>
      </c>
      <c r="C4" s="8" t="s">
        <v>1</v>
      </c>
      <c r="D4" s="8" t="s">
        <v>2</v>
      </c>
      <c r="E4" s="9" t="s">
        <v>3</v>
      </c>
    </row>
    <row r="5" spans="2:9" ht="21" x14ac:dyDescent="0.35">
      <c r="B5" s="10">
        <v>46223</v>
      </c>
      <c r="C5" s="5" t="s">
        <v>6</v>
      </c>
      <c r="D5" s="6">
        <v>50</v>
      </c>
      <c r="E5" s="11"/>
      <c r="G5" s="22" t="s">
        <v>15</v>
      </c>
      <c r="H5" s="23"/>
      <c r="I5" s="24"/>
    </row>
    <row r="6" spans="2:9" ht="19.5" thickBot="1" x14ac:dyDescent="0.35">
      <c r="B6" s="10">
        <v>46254</v>
      </c>
      <c r="C6" s="5" t="s">
        <v>8</v>
      </c>
      <c r="D6" s="6">
        <v>100</v>
      </c>
      <c r="E6" s="11"/>
      <c r="G6" s="25" t="s">
        <v>16</v>
      </c>
      <c r="H6" s="26"/>
      <c r="I6" s="27"/>
    </row>
    <row r="7" spans="2:9" x14ac:dyDescent="0.25">
      <c r="B7" s="10">
        <v>46438</v>
      </c>
      <c r="C7" s="5" t="s">
        <v>13</v>
      </c>
      <c r="D7" s="6">
        <v>150</v>
      </c>
      <c r="E7" s="11"/>
    </row>
    <row r="8" spans="2:9" x14ac:dyDescent="0.25">
      <c r="B8" s="10">
        <v>46193</v>
      </c>
      <c r="C8" s="5" t="s">
        <v>7</v>
      </c>
      <c r="D8" s="6">
        <v>200</v>
      </c>
      <c r="E8" s="11"/>
    </row>
    <row r="9" spans="2:9" x14ac:dyDescent="0.25">
      <c r="B9" s="10">
        <v>46407</v>
      </c>
      <c r="C9" s="5" t="s">
        <v>12</v>
      </c>
      <c r="D9" s="6">
        <v>250</v>
      </c>
      <c r="E9" s="11"/>
    </row>
    <row r="10" spans="2:9" x14ac:dyDescent="0.25">
      <c r="B10" s="10">
        <v>46376</v>
      </c>
      <c r="C10" s="5" t="s">
        <v>11</v>
      </c>
      <c r="D10" s="6">
        <v>500</v>
      </c>
      <c r="E10" s="11"/>
    </row>
    <row r="11" spans="2:9" x14ac:dyDescent="0.25">
      <c r="B11" s="10">
        <v>46346</v>
      </c>
      <c r="C11" s="5" t="s">
        <v>10</v>
      </c>
      <c r="D11" s="6">
        <v>1250</v>
      </c>
      <c r="E11" s="11"/>
    </row>
    <row r="12" spans="2:9" x14ac:dyDescent="0.25">
      <c r="B12" s="12">
        <v>46285</v>
      </c>
      <c r="C12" s="13" t="s">
        <v>9</v>
      </c>
      <c r="D12" s="14">
        <v>1500</v>
      </c>
      <c r="E12" s="15"/>
    </row>
    <row r="14" spans="2:9" x14ac:dyDescent="0.25">
      <c r="B14" s="2" t="s">
        <v>5</v>
      </c>
      <c r="C14" s="3">
        <f>SUMIF(Tabela2[Sataus],"",Tabela2[Valor])</f>
        <v>4000</v>
      </c>
    </row>
    <row r="15" spans="2:9" x14ac:dyDescent="0.25">
      <c r="B15" s="1" t="s">
        <v>4</v>
      </c>
      <c r="C15" s="4">
        <f>SUMIF(Tabela2[Sataus],"pago",Tabela2[Valor])</f>
        <v>0</v>
      </c>
    </row>
  </sheetData>
  <mergeCells count="4">
    <mergeCell ref="B2:E2"/>
    <mergeCell ref="G5:I5"/>
    <mergeCell ref="G6:I6"/>
    <mergeCell ref="B3:E3"/>
  </mergeCells>
  <conditionalFormatting sqref="E5:E12">
    <cfRule type="cellIs" dxfId="8" priority="4" operator="equal">
      <formula>"pago"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Felippe de Castro Abate</dc:creator>
  <cp:lastModifiedBy>Nilson Felippe de Castro Abate</cp:lastModifiedBy>
  <dcterms:created xsi:type="dcterms:W3CDTF">2026-06-17T01:29:23Z</dcterms:created>
  <dcterms:modified xsi:type="dcterms:W3CDTF">2026-06-17T06:47:10Z</dcterms:modified>
</cp:coreProperties>
</file>